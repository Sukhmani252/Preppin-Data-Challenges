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Actual" sheetId="2" r:id="rId6"/>
    <sheet state="visible" name="Budget vs Actual" sheetId="3" r:id="rId7"/>
  </sheets>
  <definedNames/>
  <calcPr/>
</workbook>
</file>

<file path=xl/sharedStrings.xml><?xml version="1.0" encoding="utf-8"?>
<sst xmlns="http://schemas.openxmlformats.org/spreadsheetml/2006/main" count="43" uniqueCount="25">
  <si>
    <t>Actual</t>
  </si>
  <si>
    <t>Budget</t>
  </si>
  <si>
    <t>Rent</t>
  </si>
  <si>
    <t>Notes</t>
  </si>
  <si>
    <t>Utilities</t>
  </si>
  <si>
    <t>Security</t>
  </si>
  <si>
    <t>Wages</t>
  </si>
  <si>
    <t>Same as last year</t>
  </si>
  <si>
    <t>Inventory</t>
  </si>
  <si>
    <t>Transportation</t>
  </si>
  <si>
    <t>TransactionFees</t>
  </si>
  <si>
    <t xml:space="preserve"> Appx</t>
  </si>
  <si>
    <t>Advertising</t>
  </si>
  <si>
    <t>Insurance</t>
  </si>
  <si>
    <t xml:space="preserve"> Already paid</t>
  </si>
  <si>
    <t xml:space="preserve"> ADJUSTED</t>
  </si>
  <si>
    <t xml:space="preserve"> More less</t>
  </si>
  <si>
    <t>Transaction Fees</t>
  </si>
  <si>
    <t xml:space="preserve"> That was last year, probably higher this year</t>
  </si>
  <si>
    <t>Ask Mark about exact sum</t>
  </si>
  <si>
    <t xml:space="preserve"> Exactly 70K</t>
  </si>
  <si>
    <t>Category</t>
  </si>
  <si>
    <t>Forecasted Spending</t>
  </si>
  <si>
    <t>Actual Spending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</si>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</sst>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3" numFmtId="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4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dget vs Actu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Budget_vs_Actuals" name="Budget_vs_Actuals" id="1">
  <tableColumns count="4">
    <tableColumn name="Category" id="1"/>
    <tableColumn name="Forecasted Spending" id="2"/>
    <tableColumn name="Actual Spending" id="3"/>
    <tableColumn name="Difference" id="4"/>
  </tableColumns>
  <tableStyleInfo name="Budget vs Actu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2.13"/>
    <col customWidth="1" min="3" max="3" width="16.5"/>
    <col customWidth="1" min="4" max="26" width="8.63"/>
  </cols>
  <sheetData>
    <row r="1" ht="14.25" customHeight="1">
      <c r="A1" s="1">
        <v>2022.0</v>
      </c>
      <c r="B1" s="1" t="s">
        <v>1</v>
      </c>
      <c r="C1" s="1" t="s">
        <v>3</v>
      </c>
    </row>
    <row r="2" ht="14.25" customHeight="1">
      <c r="A2" s="1" t="s">
        <v>2</v>
      </c>
      <c r="B2" s="2">
        <v>1000000.0</v>
      </c>
      <c r="C2" s="1" t="s">
        <v>7</v>
      </c>
    </row>
    <row r="3" ht="14.25" customHeight="1">
      <c r="A3" s="1" t="s">
        <v>4</v>
      </c>
      <c r="B3" s="2">
        <v>120000.0</v>
      </c>
      <c r="C3" s="1" t="s">
        <v>11</v>
      </c>
    </row>
    <row r="4" ht="14.25" customHeight="1">
      <c r="A4" s="1" t="s">
        <v>5</v>
      </c>
      <c r="B4" s="2">
        <v>90000.0</v>
      </c>
      <c r="C4" s="1" t="s">
        <v>14</v>
      </c>
    </row>
    <row r="5" ht="14.25" customHeight="1">
      <c r="A5" s="1" t="s">
        <v>6</v>
      </c>
      <c r="B5" s="3">
        <v>270000.0</v>
      </c>
      <c r="C5" s="1" t="s">
        <v>15</v>
      </c>
    </row>
    <row r="6" ht="14.25" customHeight="1">
      <c r="A6" s="1" t="s">
        <v>8</v>
      </c>
      <c r="B6" s="2">
        <v>2300000.0</v>
      </c>
      <c r="C6" s="1" t="s">
        <v>16</v>
      </c>
    </row>
    <row r="7" ht="14.25" customHeight="1">
      <c r="A7" s="1" t="s">
        <v>9</v>
      </c>
      <c r="B7" s="2">
        <v>180000.0</v>
      </c>
      <c r="C7" s="1" t="s">
        <v>16</v>
      </c>
    </row>
    <row r="8" ht="14.25" customHeight="1">
      <c r="A8" s="1" t="s">
        <v>17</v>
      </c>
      <c r="B8" s="2">
        <v>54000.0</v>
      </c>
      <c r="C8" s="1" t="s">
        <v>18</v>
      </c>
    </row>
    <row r="9" ht="14.25" customHeight="1">
      <c r="A9" s="1" t="s">
        <v>12</v>
      </c>
      <c r="B9" s="2">
        <v>300000.0</v>
      </c>
      <c r="C9" s="1" t="s">
        <v>19</v>
      </c>
    </row>
    <row r="10" ht="14.25" customHeight="1">
      <c r="A10" s="1" t="s">
        <v>13</v>
      </c>
      <c r="B10" s="4">
        <v>70000.0</v>
      </c>
      <c r="C10" s="1" t="s">
        <v>20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1.63"/>
    <col customWidth="1" min="3" max="26" width="8.63"/>
  </cols>
  <sheetData>
    <row r="1" ht="14.25" customHeight="1">
      <c r="A1" s="1">
        <v>2022.0</v>
      </c>
      <c r="B1" s="1" t="s">
        <v>0</v>
      </c>
    </row>
    <row r="2" ht="14.25" customHeight="1">
      <c r="A2" s="1" t="s">
        <v>2</v>
      </c>
      <c r="B2" s="2">
        <v>1000000.0</v>
      </c>
    </row>
    <row r="3" ht="14.25" customHeight="1">
      <c r="A3" s="1" t="s">
        <v>4</v>
      </c>
      <c r="B3" s="2">
        <v>111063.02</v>
      </c>
    </row>
    <row r="4" ht="14.25" customHeight="1">
      <c r="A4" s="1" t="s">
        <v>5</v>
      </c>
      <c r="B4" s="2">
        <v>90000.0</v>
      </c>
    </row>
    <row r="5" ht="14.25" customHeight="1">
      <c r="A5" s="1" t="s">
        <v>6</v>
      </c>
      <c r="B5" s="2">
        <v>270000.0</v>
      </c>
    </row>
    <row r="6" ht="14.25" customHeight="1">
      <c r="A6" s="1" t="s">
        <v>8</v>
      </c>
      <c r="B6" s="2">
        <v>2654003.11</v>
      </c>
    </row>
    <row r="7" ht="14.25" customHeight="1">
      <c r="A7" s="1" t="s">
        <v>9</v>
      </c>
      <c r="B7" s="2">
        <v>214814.87</v>
      </c>
    </row>
    <row r="8" ht="14.25" customHeight="1">
      <c r="A8" s="1" t="s">
        <v>10</v>
      </c>
      <c r="B8" s="2">
        <v>59395.92</v>
      </c>
    </row>
    <row r="9" ht="14.25" customHeight="1">
      <c r="A9" s="1" t="s">
        <v>12</v>
      </c>
      <c r="B9" s="2">
        <v>306899.96</v>
      </c>
    </row>
    <row r="10" ht="14.25" customHeight="1">
      <c r="A10" s="1" t="s">
        <v>13</v>
      </c>
      <c r="B10" s="2">
        <v>70000.0</v>
      </c>
    </row>
    <row r="11" ht="14.25" customHeight="1">
      <c r="B11" s="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26.13"/>
    <col customWidth="1" min="3" max="3" width="22.13"/>
    <col customWidth="1" min="4" max="4" width="17.13"/>
  </cols>
  <sheetData>
    <row r="1" ht="22.5" customHeight="1">
      <c r="A1" s="5" t="s">
        <v>21</v>
      </c>
      <c r="B1" s="5" t="s">
        <v>22</v>
      </c>
      <c r="C1" s="5" t="s">
        <v>23</v>
      </c>
      <c r="D1" s="5" t="s">
        <v>24</v>
      </c>
    </row>
    <row r="2" ht="22.5" customHeight="1">
      <c r="A2" s="6" t="s">
        <v>2</v>
      </c>
      <c r="B2" s="7">
        <v>1000000.0</v>
      </c>
      <c r="C2" s="8">
        <f t="array" ref="C2">INDEX(Actual!A2:B10,MATCH(A2,Actual!A2:A10,0),2,0)</f>
        <v>1000000</v>
      </c>
      <c r="D2" s="8">
        <f t="shared" ref="D2:D10" si="1">ROUND(C2-B2,0)</f>
        <v>0</v>
      </c>
    </row>
    <row r="3" ht="22.5" customHeight="1">
      <c r="A3" s="6" t="s">
        <v>4</v>
      </c>
      <c r="B3" s="7">
        <v>120000.0</v>
      </c>
      <c r="C3" s="8">
        <f t="array" ref="C3">INDEX(Actual!A3:B11,MATCH(A3,Actual!A3:A11,0),2,0)</f>
        <v>111063.02</v>
      </c>
      <c r="D3" s="8">
        <f t="shared" si="1"/>
        <v>-8937</v>
      </c>
    </row>
    <row r="4" ht="22.5" customHeight="1">
      <c r="A4" s="6" t="s">
        <v>5</v>
      </c>
      <c r="B4" s="7">
        <v>90000.0</v>
      </c>
      <c r="C4" s="8">
        <f t="array" ref="C4">INDEX(Actual!A4:B12,MATCH(A4,Actual!A4:A12,0),2,0)</f>
        <v>90000</v>
      </c>
      <c r="D4" s="8">
        <f t="shared" si="1"/>
        <v>0</v>
      </c>
    </row>
    <row r="5" ht="22.5" customHeight="1">
      <c r="A5" s="6" t="s">
        <v>6</v>
      </c>
      <c r="B5" s="9">
        <v>270000.0</v>
      </c>
      <c r="C5" s="8">
        <f t="array" ref="C5">INDEX(Actual!A5:B13,MATCH(A5,Actual!A5:A13,0),2,0)</f>
        <v>270000</v>
      </c>
      <c r="D5" s="8">
        <f t="shared" si="1"/>
        <v>0</v>
      </c>
    </row>
    <row r="6" ht="22.5" customHeight="1">
      <c r="A6" s="6" t="s">
        <v>8</v>
      </c>
      <c r="B6" s="7">
        <v>2300000.0</v>
      </c>
      <c r="C6" s="8">
        <f t="array" ref="C6">INDEX(Actual!A6:B14,MATCH(A6,Actual!A6:A14,0),2,0)</f>
        <v>2654003.11</v>
      </c>
      <c r="D6" s="8">
        <f t="shared" si="1"/>
        <v>354003</v>
      </c>
    </row>
    <row r="7" ht="22.5" customHeight="1">
      <c r="A7" s="6" t="s">
        <v>9</v>
      </c>
      <c r="B7" s="7">
        <v>180000.0</v>
      </c>
      <c r="C7" s="8">
        <f t="array" ref="C7">INDEX(Actual!A7:B15,MATCH(A7,Actual!A7:A15,0),2,0)</f>
        <v>214814.87</v>
      </c>
      <c r="D7" s="8">
        <f t="shared" si="1"/>
        <v>34815</v>
      </c>
    </row>
    <row r="8" ht="22.5" customHeight="1">
      <c r="A8" s="10" t="s">
        <v>10</v>
      </c>
      <c r="B8" s="7">
        <v>54000.0</v>
      </c>
      <c r="C8" s="8">
        <f t="array" ref="C8">INDEX(Actual!A8:B16,MATCH(A8,Actual!A8:A16,0),2,0)</f>
        <v>59395.92</v>
      </c>
      <c r="D8" s="8">
        <f t="shared" si="1"/>
        <v>5396</v>
      </c>
    </row>
    <row r="9" ht="22.5" customHeight="1">
      <c r="A9" s="6" t="s">
        <v>12</v>
      </c>
      <c r="B9" s="7">
        <v>300000.0</v>
      </c>
      <c r="C9" s="8">
        <f t="array" ref="C9">INDEX(Actual!A9:B17,MATCH(A9,Actual!A9:A17,0),2,0)</f>
        <v>306899.96</v>
      </c>
      <c r="D9" s="8">
        <f t="shared" si="1"/>
        <v>6900</v>
      </c>
    </row>
    <row r="10" ht="22.5" customHeight="1">
      <c r="A10" s="6" t="s">
        <v>13</v>
      </c>
      <c r="B10" s="11">
        <v>70000.0</v>
      </c>
      <c r="C10" s="8">
        <f t="array" ref="C10">INDEX(Actual!A10:B18,MATCH(A10,Actual!A10:A18,0),2,0)</f>
        <v>70000</v>
      </c>
      <c r="D10" s="8">
        <f t="shared" si="1"/>
        <v>0</v>
      </c>
    </row>
  </sheetData>
  <dataValidations>
    <dataValidation type="custom" allowBlank="1" showDropDown="1" sqref="B2:D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